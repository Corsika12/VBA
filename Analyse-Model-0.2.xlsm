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home/(Pro) Travail/1.Candidatures/ProBTP/"/>
    </mc:Choice>
  </mc:AlternateContent>
  <xr:revisionPtr revIDLastSave="0" documentId="13_ncr:1_{3C145ABB-2CDD-3D4C-A46B-9AF1095BE1B2}" xr6:coauthVersionLast="47" xr6:coauthVersionMax="47" xr10:uidLastSave="{00000000-0000-0000-0000-000000000000}"/>
  <bookViews>
    <workbookView xWindow="1260" yWindow="1340" windowWidth="32100" windowHeight="20820" activeTab="1" xr2:uid="{ED1E64D1-AF6B-AD4B-9986-F3F07C1B3286}"/>
  </bookViews>
  <sheets>
    <sheet name="Data" sheetId="1" r:id="rId1"/>
    <sheet name="CRM" sheetId="4" r:id="rId2"/>
    <sheet name="Aide" sheetId="2" r:id="rId3"/>
    <sheet name="Settings" sheetId="5" r:id="rId4"/>
  </sheets>
  <functionGroups builtInGroupCount="19"/>
  <definedNames>
    <definedName name="_xlnm._FilterDatabase" localSheetId="1" hidden="1">CRM!$A$1:$J$33</definedName>
    <definedName name="_xlnm._FilterDatabase" localSheetId="0" hidden="1">Data!$A$1:$K$18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" i="4" l="1"/>
  <c r="H25" i="4"/>
  <c r="G25" i="4"/>
  <c r="J8" i="4"/>
  <c r="H8" i="4"/>
  <c r="G8" i="4"/>
  <c r="H17" i="4"/>
  <c r="H18" i="4"/>
  <c r="H19" i="4"/>
  <c r="H20" i="4"/>
  <c r="H21" i="4"/>
  <c r="H22" i="4"/>
  <c r="H23" i="4"/>
  <c r="H24" i="4"/>
  <c r="H26" i="4"/>
  <c r="H27" i="4"/>
  <c r="H28" i="4"/>
  <c r="H29" i="4"/>
  <c r="H30" i="4"/>
  <c r="H31" i="4"/>
  <c r="H32" i="4"/>
  <c r="H33" i="4"/>
  <c r="G17" i="4"/>
  <c r="G18" i="4"/>
  <c r="G19" i="4"/>
  <c r="G20" i="4"/>
  <c r="G21" i="4"/>
  <c r="G22" i="4"/>
  <c r="G23" i="4"/>
  <c r="G24" i="4"/>
  <c r="G26" i="4"/>
  <c r="G27" i="4"/>
  <c r="G28" i="4"/>
  <c r="G29" i="4"/>
  <c r="G30" i="4"/>
  <c r="G31" i="4"/>
  <c r="G32" i="4"/>
  <c r="G33" i="4"/>
  <c r="J17" i="4"/>
  <c r="J18" i="4"/>
  <c r="J19" i="4"/>
  <c r="J20" i="4"/>
  <c r="J21" i="4"/>
  <c r="J22" i="4"/>
  <c r="J23" i="4"/>
  <c r="J24" i="4"/>
  <c r="J26" i="4"/>
  <c r="J27" i="4"/>
  <c r="J28" i="4"/>
  <c r="J29" i="4"/>
  <c r="J30" i="4"/>
  <c r="J31" i="4"/>
  <c r="J32" i="4"/>
  <c r="J33" i="4"/>
  <c r="C4" i="5"/>
  <c r="D5" i="5"/>
  <c r="J3" i="4"/>
  <c r="J4" i="4"/>
  <c r="J5" i="4"/>
  <c r="J6" i="4"/>
  <c r="J7" i="4"/>
  <c r="J9" i="4"/>
  <c r="J10" i="4"/>
  <c r="J11" i="4"/>
  <c r="J12" i="4"/>
  <c r="J13" i="4"/>
  <c r="J14" i="4"/>
  <c r="J15" i="4"/>
  <c r="J16" i="4"/>
  <c r="J2" i="4"/>
  <c r="H16" i="4" l="1"/>
  <c r="G16" i="4"/>
  <c r="G15" i="4"/>
  <c r="H15" i="4"/>
  <c r="G3" i="4"/>
  <c r="G4" i="4"/>
  <c r="G5" i="4"/>
  <c r="G6" i="4"/>
  <c r="G7" i="4"/>
  <c r="G9" i="4"/>
  <c r="G10" i="4"/>
  <c r="G11" i="4"/>
  <c r="G12" i="4"/>
  <c r="G13" i="4"/>
  <c r="G14" i="4"/>
  <c r="G2" i="4"/>
  <c r="H3" i="4"/>
  <c r="H4" i="4"/>
  <c r="H5" i="4"/>
  <c r="H6" i="4"/>
  <c r="H7" i="4"/>
  <c r="H9" i="4"/>
  <c r="H10" i="4"/>
  <c r="H11" i="4"/>
  <c r="H12" i="4"/>
  <c r="H13" i="4"/>
  <c r="H14" i="4"/>
  <c r="H2" i="4"/>
  <c r="A3" i="4"/>
  <c r="A4" i="4" s="1"/>
  <c r="A5" i="4" s="1"/>
  <c r="A6" i="4" s="1"/>
  <c r="A7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6" i="4" s="1"/>
  <c r="A27" i="4" s="1"/>
  <c r="A28" i="4" s="1"/>
  <c r="A29" i="4" s="1"/>
  <c r="A30" i="4" s="1"/>
  <c r="A31" i="4" s="1"/>
  <c r="A32" i="4" s="1"/>
  <c r="A33" i="4" s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I6" i="1"/>
  <c r="G6" i="1"/>
  <c r="H6" i="1" s="1"/>
  <c r="E6" i="1"/>
  <c r="K5" i="1"/>
  <c r="I5" i="1"/>
  <c r="G5" i="1"/>
  <c r="H5" i="1" s="1"/>
  <c r="E5" i="1"/>
  <c r="J5" i="1" s="1"/>
  <c r="K4" i="1"/>
  <c r="I4" i="1"/>
  <c r="G4" i="1"/>
  <c r="H4" i="1" s="1"/>
  <c r="E4" i="1"/>
  <c r="J4" i="1" s="1"/>
  <c r="K3" i="1"/>
  <c r="I3" i="1"/>
  <c r="G3" i="1"/>
  <c r="H3" i="1" s="1"/>
  <c r="E3" i="1"/>
  <c r="J3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K2" i="1"/>
  <c r="I2" i="1"/>
  <c r="G2" i="1"/>
  <c r="H2" i="1" s="1"/>
  <c r="E2" i="1"/>
  <c r="J2" i="1" s="1"/>
  <c r="J6" i="1" l="1"/>
</calcChain>
</file>

<file path=xl/sharedStrings.xml><?xml version="1.0" encoding="utf-8"?>
<sst xmlns="http://schemas.openxmlformats.org/spreadsheetml/2006/main" count="151" uniqueCount="88">
  <si>
    <t>id</t>
  </si>
  <si>
    <t>NIR</t>
  </si>
  <si>
    <t>Code_Postal</t>
  </si>
  <si>
    <t>Date_Naissance</t>
  </si>
  <si>
    <t>Sexe</t>
  </si>
  <si>
    <t>Verif_Sexe</t>
  </si>
  <si>
    <t>F</t>
  </si>
  <si>
    <t>NIR_Sexe</t>
  </si>
  <si>
    <t>M</t>
  </si>
  <si>
    <t>NIR_Annee-Naiss</t>
  </si>
  <si>
    <t>Verif_Annee_Naiss</t>
  </si>
  <si>
    <t>Annee_Naissance</t>
  </si>
  <si>
    <t>Doublons</t>
  </si>
  <si>
    <t>06800</t>
  </si>
  <si>
    <t>Date_MAJ</t>
  </si>
  <si>
    <t>BIC</t>
  </si>
  <si>
    <t>IBAN</t>
  </si>
  <si>
    <t>AGRIFRPP882</t>
  </si>
  <si>
    <t>LIBAUD CARRIE Enzo</t>
  </si>
  <si>
    <t>Client</t>
  </si>
  <si>
    <t>Le Blanc Marie</t>
  </si>
  <si>
    <t xml:space="preserve">Dupont Jean </t>
  </si>
  <si>
    <t>Jean DUPONT</t>
  </si>
  <si>
    <t>Nom</t>
  </si>
  <si>
    <t>Prenom</t>
  </si>
  <si>
    <t>Legrand Pierre</t>
  </si>
  <si>
    <t>Durand</t>
  </si>
  <si>
    <t>Durand Paul Henri</t>
  </si>
  <si>
    <t xml:space="preserve">R76 1820 6002 1054 8726 6700 217 </t>
  </si>
  <si>
    <t>Quality</t>
  </si>
  <si>
    <t xml:space="preserve"> Jean-Claude Martin</t>
  </si>
  <si>
    <t>dos Santos Ferreira José Manuel</t>
  </si>
  <si>
    <t>da Silva Maria</t>
  </si>
  <si>
    <t>Costa António</t>
  </si>
  <si>
    <t>Santos João  Pedro</t>
  </si>
  <si>
    <t>Da Silva Manuel</t>
  </si>
  <si>
    <t>DA SILVA Manu</t>
  </si>
  <si>
    <t>Similaires/Doublons</t>
  </si>
  <si>
    <t>Recherche</t>
  </si>
  <si>
    <t>Value</t>
  </si>
  <si>
    <t>Stricte</t>
  </si>
  <si>
    <t>Etendue</t>
  </si>
  <si>
    <t>Modérée</t>
  </si>
  <si>
    <t>Approximative</t>
  </si>
  <si>
    <t>Exacte</t>
  </si>
  <si>
    <t>(quasi identique)</t>
  </si>
  <si>
    <t>Aide</t>
  </si>
  <si>
    <t>TRUE</t>
  </si>
  <si>
    <t>FALSE</t>
  </si>
  <si>
    <t xml:space="preserve">Tolérance adaptative </t>
  </si>
  <si>
    <t>(permissive)</t>
  </si>
  <si>
    <t>Boolean</t>
  </si>
  <si>
    <t>DURAND P.</t>
  </si>
  <si>
    <t>Dupont Jean-Claude</t>
  </si>
  <si>
    <t>Jean Claude Dupont</t>
  </si>
  <si>
    <t xml:space="preserve">Marie Leblanc </t>
  </si>
  <si>
    <t xml:space="preserve">Marie LeBlanc </t>
  </si>
  <si>
    <t>LEBLANC Marie</t>
  </si>
  <si>
    <t>Maria DaSilva</t>
  </si>
  <si>
    <t>DA SILVA M.</t>
  </si>
  <si>
    <t>DA SILVA José</t>
  </si>
  <si>
    <t>José DA SILVA</t>
  </si>
  <si>
    <t>Dos Santos Fereira José M.</t>
  </si>
  <si>
    <t>Jean-Pierre Legrand</t>
  </si>
  <si>
    <t>LEGRAND Jean Pierre</t>
  </si>
  <si>
    <t>Durand Paul-Henry</t>
  </si>
  <si>
    <t>Paul Henri DURAND</t>
  </si>
  <si>
    <t>DaSilva Manuel</t>
  </si>
  <si>
    <t>Departement</t>
  </si>
  <si>
    <t>06</t>
  </si>
  <si>
    <t>83</t>
  </si>
  <si>
    <t>Paramétrage de la sensibilité de recherche des doublons</t>
  </si>
  <si>
    <r>
      <t>Table de paramétrage</t>
    </r>
    <r>
      <rPr>
        <sz val="13"/>
        <color theme="0"/>
        <rFont val="Calibri"/>
        <family val="2"/>
        <scheme val="minor"/>
      </rPr>
      <t xml:space="preserve"> (à ne pas modifier)</t>
    </r>
  </si>
  <si>
    <t>Choix utilisateur</t>
  </si>
  <si>
    <t>Windows</t>
  </si>
  <si>
    <t>Mac</t>
  </si>
  <si>
    <t>Affichage StatusBar</t>
  </si>
  <si>
    <t>OK</t>
  </si>
  <si>
    <t>Doublon potentiel avec ligne 15</t>
  </si>
  <si>
    <t>Doublon potentiel avec ligne 9</t>
  </si>
  <si>
    <t>LIBAUD  Enzo</t>
  </si>
  <si>
    <t>CARRIE Enzo</t>
  </si>
  <si>
    <t>Doublon potentiel avec ligne 30</t>
  </si>
  <si>
    <t>Doublon potentiel avec ligne 16</t>
  </si>
  <si>
    <t>Doublon potentiel avec ligne 10</t>
  </si>
  <si>
    <t>Doublon potentiel avec ligne 32</t>
  </si>
  <si>
    <t>Doublon potentiel avec ligne 24</t>
  </si>
  <si>
    <t>Doublon potentiel avec ligne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</si>
</sst>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3"/>
      <color theme="0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12"/>
      <color theme="5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D"/>
        <bgColor indexed="64"/>
      </patternFill>
    </fill>
    <fill>
      <patternFill patternType="solid">
        <fgColor rgb="FFFFC7CD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2060"/>
      </left>
      <right style="thin">
        <color indexed="64"/>
      </right>
      <top style="thin">
        <color indexed="64"/>
      </top>
      <bottom style="thin">
        <color rgb="FF002060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49" fontId="0" fillId="0" borderId="1" xfId="0" applyNumberFormat="1" applyBorder="1"/>
    <xf numFmtId="14" fontId="0" fillId="0" borderId="1" xfId="0" applyNumberFormat="1" applyBorder="1"/>
    <xf numFmtId="0" fontId="1" fillId="0" borderId="1" xfId="0" applyFont="1" applyBorder="1"/>
    <xf numFmtId="0" fontId="0" fillId="0" borderId="0" xfId="0" applyAlignment="1">
      <alignment horizontal="left"/>
    </xf>
    <xf numFmtId="1" fontId="3" fillId="0" borderId="1" xfId="0" applyNumberFormat="1" applyFont="1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0" borderId="1" xfId="0" applyFont="1" applyBorder="1" applyAlignment="1">
      <alignment horizontal="left"/>
    </xf>
    <xf numFmtId="1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49" fontId="0" fillId="0" borderId="1" xfId="0" applyNumberFormat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10" fillId="5" borderId="0" xfId="0" applyFont="1" applyFill="1"/>
    <xf numFmtId="0" fontId="10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top"/>
    </xf>
    <xf numFmtId="0" fontId="10" fillId="7" borderId="0" xfId="0" applyFont="1" applyFill="1"/>
    <xf numFmtId="0" fontId="10" fillId="0" borderId="0" xfId="0" applyFont="1"/>
    <xf numFmtId="0" fontId="10" fillId="5" borderId="0" xfId="0" applyFont="1" applyFill="1" applyAlignment="1">
      <alignment horizontal="left" indent="1"/>
    </xf>
    <xf numFmtId="0" fontId="6" fillId="3" borderId="7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left" indent="1"/>
    </xf>
    <xf numFmtId="0" fontId="0" fillId="8" borderId="7" xfId="0" applyFill="1" applyBorder="1"/>
    <xf numFmtId="0" fontId="1" fillId="4" borderId="6" xfId="0" applyFont="1" applyFill="1" applyBorder="1" applyAlignment="1">
      <alignment horizontal="left" vertical="center"/>
    </xf>
    <xf numFmtId="0" fontId="0" fillId="6" borderId="7" xfId="0" applyFill="1" applyBorder="1"/>
    <xf numFmtId="0" fontId="1" fillId="6" borderId="6" xfId="0" applyFont="1" applyFill="1" applyBorder="1" applyAlignment="1">
      <alignment horizontal="left" indent="1"/>
    </xf>
    <xf numFmtId="0" fontId="0" fillId="6" borderId="8" xfId="0" applyFill="1" applyBorder="1" applyAlignment="1">
      <alignment horizontal="left" indent="1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/>
    <xf numFmtId="0" fontId="1" fillId="2" borderId="11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indent="1"/>
    </xf>
    <xf numFmtId="0" fontId="1" fillId="2" borderId="11" xfId="0" applyFont="1" applyFill="1" applyBorder="1" applyAlignment="1">
      <alignment horizontal="left" indent="1"/>
    </xf>
    <xf numFmtId="0" fontId="0" fillId="0" borderId="12" xfId="0" applyBorder="1" applyAlignment="1">
      <alignment horizontal="left" indent="1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/>
    <xf numFmtId="0" fontId="11" fillId="3" borderId="6" xfId="0" applyFont="1" applyFill="1" applyBorder="1" applyAlignment="1">
      <alignment horizontal="left" vertical="center" indent="4"/>
    </xf>
    <xf numFmtId="0" fontId="1" fillId="4" borderId="8" xfId="0" applyFont="1" applyFill="1" applyBorder="1" applyAlignment="1">
      <alignment horizontal="left" vertical="center"/>
    </xf>
    <xf numFmtId="0" fontId="0" fillId="6" borderId="6" xfId="0" applyFill="1" applyBorder="1" applyAlignment="1">
      <alignment horizontal="left" indent="1"/>
    </xf>
    <xf numFmtId="0" fontId="13" fillId="8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0" fillId="9" borderId="1" xfId="0" applyFill="1" applyBorder="1"/>
    <xf numFmtId="0" fontId="0" fillId="10" borderId="1" xfId="0" applyFill="1" applyBorder="1"/>
    <xf numFmtId="0" fontId="14" fillId="0" borderId="1" xfId="0" applyFont="1" applyBorder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D$26" lockText="1" noThreeD="1"/>
</file>

<file path=xl/ctrlProps/ctrlProp2.xml><?xml version="1.0" encoding="utf-8"?>
<formControlPr xmlns="http://schemas.microsoft.com/office/spreadsheetml/2009/9/main" objectType="CheckBox" checked="Checked" fmlaLink="$D$28" lockText="1" noThreeD="1"/>
</file>

<file path=xl/ctrlProps/ctrlProp3.xml><?xml version="1.0" encoding="utf-8"?>
<formControlPr xmlns="http://schemas.microsoft.com/office/spreadsheetml/2009/9/main" objectType="CheckBox" checked="Checked" fmlaLink="$D$30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469900</xdr:colOff>
      <xdr:row>1</xdr:row>
      <xdr:rowOff>38100</xdr:rowOff>
    </xdr:from>
    <xdr:to>
      <xdr:col>9</xdr:col>
      <xdr:colOff>812800</xdr:colOff>
      <xdr:row>21</xdr:row>
      <xdr:rowOff>61052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900" y="241300"/>
          <a:ext cx="7772400" cy="4086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88900</xdr:colOff>
      <xdr:row>1</xdr:row>
      <xdr:rowOff>12700</xdr:rowOff>
    </xdr:from>
    <xdr:to>
      <xdr:col>2</xdr:col>
      <xdr:colOff>558800</xdr:colOff>
      <xdr:row>2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22300" y="215900"/>
          <a:ext cx="469900" cy="368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b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>
              <a:solidFill>
                <a:schemeClr val="lt1"/>
              </a:solidFill>
            </a:rPr>
            <a:t> </a:t>
          </a:r>
          <a:r>
            <a:rPr lang="fr-FR" sz="1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🔍</a:t>
          </a:r>
        </a:p>
      </xdr:txBody>
    </xdr:sp>
    <xdr:clientData/>
  </xdr:twoCellAnchor>
  <xdr:twoCellAnchor>
    <xdr:from>
      <xdr:col>2</xdr:col>
      <xdr:colOff>88900</xdr:colOff>
      <xdr:row>1</xdr:row>
      <xdr:rowOff>12700</xdr:rowOff>
    </xdr:from>
    <xdr:to>
      <xdr:col>2</xdr:col>
      <xdr:colOff>558800</xdr:colOff>
      <xdr:row>2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22300" y="215900"/>
          <a:ext cx="469900" cy="368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b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8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88900</xdr:colOff>
      <xdr:row>9</xdr:row>
      <xdr:rowOff>76200</xdr:rowOff>
    </xdr:from>
    <xdr:to>
      <xdr:col>2</xdr:col>
      <xdr:colOff>495300</xdr:colOff>
      <xdr:row>9</xdr:row>
      <xdr:rowOff>368300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622300" y="1930400"/>
          <a:ext cx="406400" cy="292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l"/>
          <a:r>
            <a:rPr lang="fr-FR" sz="1800">
              <a:solidFill>
                <a:schemeClr val="lt1"/>
              </a:solidFill>
            </a:rPr>
            <a:t> ⚙️ </a:t>
          </a:r>
        </a:p>
      </xdr:txBody>
    </xdr:sp>
    <xdr:clientData/>
  </xdr:twoCellAnchor>
  <xdr:twoCellAnchor>
    <xdr:from>
      <xdr:col>2</xdr:col>
      <xdr:colOff>88900</xdr:colOff>
      <xdr:row>23</xdr:row>
      <xdr:rowOff>76200</xdr:rowOff>
    </xdr:from>
    <xdr:to>
      <xdr:col>2</xdr:col>
      <xdr:colOff>495300</xdr:colOff>
      <xdr:row>23</xdr:row>
      <xdr:rowOff>368300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22300" y="1930400"/>
          <a:ext cx="406400" cy="292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🛠️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1574800</xdr:colOff>
          <xdr:row>24</xdr:row>
          <xdr:rowOff>25400</xdr:rowOff>
        </xdr:from>
        <xdr:to>
          <xdr:col>2</xdr:col>
          <xdr:colOff>1854200</xdr:colOff>
          <xdr:row>26</xdr:row>
          <xdr:rowOff>25400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1574800</xdr:colOff>
          <xdr:row>26</xdr:row>
          <xdr:rowOff>25400</xdr:rowOff>
        </xdr:from>
        <xdr:to>
          <xdr:col>2</xdr:col>
          <xdr:colOff>1854200</xdr:colOff>
          <xdr:row>28</xdr:row>
          <xdr:rowOff>38100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1574800</xdr:colOff>
          <xdr:row>28</xdr:row>
          <xdr:rowOff>25400</xdr:rowOff>
        </xdr:from>
        <xdr:to>
          <xdr:col>2</xdr:col>
          <xdr:colOff>1854200</xdr:colOff>
          <xdr:row>30</xdr:row>
          <xdr:rowOff>38100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304800</xdr:colOff>
      <xdr:row>0</xdr:row>
      <xdr:rowOff>0</xdr:rowOff>
    </xdr:from>
    <xdr:to>
      <xdr:col>19</xdr:col>
      <xdr:colOff>457200</xdr:colOff>
      <xdr:row>32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994400" y="0"/>
          <a:ext cx="9232900" cy="6197600"/>
        </a:xfrm>
        <a:prstGeom prst="rect">
          <a:avLst/>
        </a:prstGeom>
        <a:solidFill>
          <a:schemeClr val="bg1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200" b="1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l"/>
          <a:r>
            <a:rPr lang="fr-FR" sz="1200" b="1">
              <a:solidFill>
                <a:schemeClr val="tx1">
                  <a:lumMod val="95000"/>
                  <a:lumOff val="5000"/>
                </a:schemeClr>
              </a:solidFill>
            </a:rPr>
            <a:t>Méthode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0">
              <a:solidFill>
                <a:schemeClr val="tx1">
                  <a:lumMod val="95000"/>
                  <a:lumOff val="5000"/>
                </a:schemeClr>
              </a:solidFill>
            </a:rPr>
            <a:t>I</a:t>
          </a: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dentification des doublons potentiels en utilisant la distance de Levenshtein.</a:t>
          </a:r>
        </a:p>
        <a:p>
          <a:pPr algn="l"/>
          <a:endParaRPr lang="fr-FR" sz="1200" b="1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l"/>
          <a:endParaRPr lang="fr-FR" sz="1200" b="1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l"/>
          <a:r>
            <a:rPr lang="fr-FR" sz="1200" b="1">
              <a:solidFill>
                <a:schemeClr val="tx1">
                  <a:lumMod val="95000"/>
                  <a:lumOff val="5000"/>
                </a:schemeClr>
              </a:solidFill>
            </a:rPr>
            <a:t>Recommandations :</a:t>
          </a:r>
        </a:p>
        <a:p>
          <a:pPr algn="l"/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1/ Choix de recherche (D4) : Définissez un niveau de tolérance entre 1 (très strict) et 6 (plus permissif) pour la détection des potentiels doublons.</a:t>
          </a:r>
        </a:p>
        <a:p>
          <a:pPr algn="l"/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2/ Tolérance adaptative (D6) : Si besoin, vous pouvez activer la prise en compte de la longueur du texte pour pondérer le</a:t>
          </a:r>
          <a:r>
            <a:rPr lang="fr-FR" sz="1200" baseline="0">
              <a:solidFill>
                <a:schemeClr val="tx1">
                  <a:lumMod val="95000"/>
                  <a:lumOff val="5000"/>
                </a:schemeClr>
              </a:solidFill>
            </a:rPr>
            <a:t> niveau de</a:t>
          </a: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 tolérance.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3/ Préparez les colonnes dans la feuille à analyser 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-</a:t>
          </a:r>
          <a:r>
            <a:rPr lang="fr-FR" sz="12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Identifier la première colonne contenant des noms, prénoms ou autres données sujettes à variation orthographique.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aseline="0">
              <a:solidFill>
                <a:schemeClr val="tx1">
                  <a:lumMod val="95000"/>
                  <a:lumOff val="5000"/>
                </a:schemeClr>
              </a:solidFill>
            </a:rPr>
            <a:t>- Choisir une ou deux colonnes supplémentaires contenant des données exactes (ex. : année, code postal) pour fiabiliser la comparaison.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- Prévoir une colonne pour afficher les résultats. Si des données sont présentes, elles seront effacées au lancement de</a:t>
          </a:r>
          <a:r>
            <a:rPr lang="fr-FR" sz="1200" baseline="0">
              <a:solidFill>
                <a:schemeClr val="tx1">
                  <a:lumMod val="95000"/>
                  <a:lumOff val="5000"/>
                </a:schemeClr>
              </a:solidFill>
            </a:rPr>
            <a:t> la macro</a:t>
          </a: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.</a:t>
          </a:r>
        </a:p>
        <a:p>
          <a:pPr algn="l"/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l"/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4/ Lancer la macro "</a:t>
          </a:r>
          <a:r>
            <a:rPr lang="fr-FR" sz="1200" b="1">
              <a:solidFill>
                <a:schemeClr val="tx1">
                  <a:lumMod val="95000"/>
                  <a:lumOff val="5000"/>
                </a:schemeClr>
              </a:solidFill>
            </a:rPr>
            <a:t>LaunchDetectionDoublon</a:t>
          </a: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"</a:t>
          </a:r>
        </a:p>
        <a:p>
          <a:pPr algn="l"/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l"/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l"/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>
              <a:solidFill>
                <a:schemeClr val="tx1">
                  <a:lumMod val="95000"/>
                  <a:lumOff val="5000"/>
                </a:schemeClr>
              </a:solidFill>
            </a:rPr>
            <a:t>En cas d'erreur ou de comportement inattendu</a:t>
          </a:r>
          <a:r>
            <a:rPr lang="fr-FR" sz="1200" b="1" baseline="0">
              <a:solidFill>
                <a:schemeClr val="tx1">
                  <a:lumMod val="95000"/>
                  <a:lumOff val="5000"/>
                </a:schemeClr>
              </a:solidFill>
            </a:rPr>
            <a:t> 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- Désactiver l'affichage de la StatusBar (C26).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- Vérifier que les données à analyser sont de type texte ("string").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- Ne renommez</a:t>
          </a:r>
          <a:r>
            <a:rPr lang="fr-FR" sz="1200" baseline="0">
              <a:solidFill>
                <a:schemeClr val="tx1">
                  <a:lumMod val="95000"/>
                  <a:lumOff val="5000"/>
                </a:schemeClr>
              </a:solidFill>
            </a:rPr>
            <a:t> pas</a:t>
          </a:r>
          <a:r>
            <a:rPr lang="fr-FR" sz="1200">
              <a:solidFill>
                <a:schemeClr val="tx1">
                  <a:lumMod val="95000"/>
                  <a:lumOff val="5000"/>
                </a:schemeClr>
              </a:solidFill>
            </a:rPr>
            <a:t> la</a:t>
          </a:r>
          <a:r>
            <a:rPr lang="fr-FR" sz="1200" baseline="0">
              <a:solidFill>
                <a:schemeClr val="tx1">
                  <a:lumMod val="95000"/>
                  <a:lumOff val="5000"/>
                </a:schemeClr>
              </a:solidFill>
            </a:rPr>
            <a:t> feuille"Settings", sinon, seuls les réglages par défaut seront appliqués.</a:t>
          </a:r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l"/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l"/>
          <a:endParaRPr lang="fr-FR" sz="12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BFBA0-38E4-9449-A09A-50FD42EE981A}">
  <sheetPr codeName="Feuil1"/>
  <dimension ref="A1:K18"/>
  <sheetViews>
    <sheetView showGridLines="0" workbookViewId="0">
      <pane ySplit="1" topLeftCell="A2" activePane="bottomLeft" state="frozen"/>
      <selection pane="bottomLeft" activeCell="E3" sqref="E3"/>
    </sheetView>
  </sheetViews>
  <sheetFormatPr baseColWidth="10" defaultRowHeight="16" x14ac:dyDescent="0.2"/>
  <cols>
    <col min="1" max="1" width="6" customWidth="1"/>
    <col min="2" max="2" width="19.6640625" style="5" customWidth="1"/>
    <col min="3" max="3" width="14" customWidth="1"/>
    <col min="4" max="4" width="16.33203125" customWidth="1"/>
    <col min="5" max="5" width="15.6640625" bestFit="1" customWidth="1"/>
    <col min="9" max="9" width="15.5" bestFit="1" customWidth="1"/>
    <col min="10" max="10" width="17" bestFit="1" customWidth="1"/>
    <col min="11" max="11" width="10.83203125" style="12"/>
  </cols>
  <sheetData>
    <row r="1" spans="1:11" x14ac:dyDescent="0.2">
      <c r="A1" s="4" t="s">
        <v>0</v>
      </c>
      <c r="B1" s="8" t="s">
        <v>1</v>
      </c>
      <c r="C1" s="4" t="s">
        <v>2</v>
      </c>
      <c r="D1" s="4" t="s">
        <v>3</v>
      </c>
      <c r="E1" s="4" t="s">
        <v>11</v>
      </c>
      <c r="F1" s="4" t="s">
        <v>4</v>
      </c>
      <c r="G1" s="4" t="s">
        <v>7</v>
      </c>
      <c r="H1" s="4" t="s">
        <v>5</v>
      </c>
      <c r="I1" s="4" t="s">
        <v>9</v>
      </c>
      <c r="J1" s="4" t="s">
        <v>10</v>
      </c>
      <c r="K1" s="10" t="s">
        <v>12</v>
      </c>
    </row>
    <row r="2" spans="1:11" x14ac:dyDescent="0.2">
      <c r="A2" s="1">
        <v>1</v>
      </c>
      <c r="B2" s="6">
        <v>254120102500522</v>
      </c>
      <c r="C2" s="9" t="s">
        <v>13</v>
      </c>
      <c r="D2" s="3">
        <v>20059</v>
      </c>
      <c r="E2" s="3" t="str">
        <f>RIGHT(TEXT(D2,"AAAA"),2)</f>
        <v>54</v>
      </c>
      <c r="F2" s="2" t="s">
        <v>6</v>
      </c>
      <c r="G2" s="1" t="str">
        <f>LEFT(B2,1)</f>
        <v>2</v>
      </c>
      <c r="H2" s="1" t="str">
        <f>IF(AND(F2="F", G2="2"),"F", IF(AND(F2="M", G2="1"),"M", "Incoherent"))</f>
        <v>F</v>
      </c>
      <c r="I2" s="1" t="str">
        <f>MID(B2,2,2)</f>
        <v>54</v>
      </c>
      <c r="J2" s="24" t="str">
        <f>IF(E2=I2,_xlfn.UNICHAR(9989),"Incoherent")</f>
        <v>✅</v>
      </c>
      <c r="K2" s="11">
        <f>IF(B2="","",IF(COUNTIF($B:$B,B2)&gt;1,1,0))</f>
        <v>1</v>
      </c>
    </row>
    <row r="3" spans="1:11" x14ac:dyDescent="0.2">
      <c r="A3" s="1">
        <f>A2+1</f>
        <v>2</v>
      </c>
      <c r="B3" s="6">
        <v>180121202500522</v>
      </c>
      <c r="C3" s="9" t="s">
        <v>13</v>
      </c>
      <c r="D3" s="3">
        <v>29556</v>
      </c>
      <c r="E3" s="3" t="str">
        <f t="shared" ref="E3:E6" si="0">RIGHT(TEXT(D3,"AAAA"),2)</f>
        <v>80</v>
      </c>
      <c r="F3" s="2" t="s">
        <v>8</v>
      </c>
      <c r="G3" s="1" t="str">
        <f t="shared" ref="G3:G6" si="1">LEFT(B3,1)</f>
        <v>1</v>
      </c>
      <c r="H3" s="1" t="str">
        <f t="shared" ref="H3:H6" si="2">IF(AND(F3="F", G3="2"),"F", IF(AND(F3="M", G3="1"),"M", "Incoherent"))</f>
        <v>M</v>
      </c>
      <c r="I3" s="1" t="str">
        <f t="shared" ref="I3:I6" si="3">MID(B3,2,2)</f>
        <v>80</v>
      </c>
      <c r="J3" s="24" t="str">
        <f t="shared" ref="J3:J6" si="4">IF(E3=I3,_xlfn.UNICHAR(9989),"Incoherent")</f>
        <v>✅</v>
      </c>
      <c r="K3" s="11">
        <f t="shared" ref="K3:K18" si="5">IF(B3="","",IF(COUNTIF($B:$B,B3)&gt;1,1,0))</f>
        <v>0</v>
      </c>
    </row>
    <row r="4" spans="1:11" x14ac:dyDescent="0.2">
      <c r="A4" s="1">
        <f t="shared" ref="A4:A18" si="6">A3+1</f>
        <v>3</v>
      </c>
      <c r="B4" s="6">
        <v>177121202500522</v>
      </c>
      <c r="C4" s="9" t="s">
        <v>13</v>
      </c>
      <c r="D4" s="3">
        <v>28109</v>
      </c>
      <c r="E4" s="3" t="str">
        <f t="shared" si="0"/>
        <v>76</v>
      </c>
      <c r="F4" s="2" t="s">
        <v>8</v>
      </c>
      <c r="G4" s="1" t="str">
        <f t="shared" si="1"/>
        <v>1</v>
      </c>
      <c r="H4" s="1" t="str">
        <f t="shared" si="2"/>
        <v>M</v>
      </c>
      <c r="I4" s="1" t="str">
        <f t="shared" si="3"/>
        <v>77</v>
      </c>
      <c r="J4" s="24" t="str">
        <f t="shared" si="4"/>
        <v>Incoherent</v>
      </c>
      <c r="K4" s="11">
        <f t="shared" si="5"/>
        <v>0</v>
      </c>
    </row>
    <row r="5" spans="1:11" x14ac:dyDescent="0.2">
      <c r="A5" s="1">
        <f t="shared" si="6"/>
        <v>4</v>
      </c>
      <c r="B5" s="6">
        <v>254120102500522</v>
      </c>
      <c r="C5" s="9" t="s">
        <v>13</v>
      </c>
      <c r="D5" s="3">
        <v>20078</v>
      </c>
      <c r="E5" s="3" t="str">
        <f t="shared" si="0"/>
        <v>54</v>
      </c>
      <c r="F5" s="2" t="s">
        <v>6</v>
      </c>
      <c r="G5" s="1" t="str">
        <f t="shared" si="1"/>
        <v>2</v>
      </c>
      <c r="H5" s="1" t="str">
        <f t="shared" si="2"/>
        <v>F</v>
      </c>
      <c r="I5" s="1" t="str">
        <f t="shared" si="3"/>
        <v>54</v>
      </c>
      <c r="J5" s="24" t="str">
        <f t="shared" si="4"/>
        <v>✅</v>
      </c>
      <c r="K5" s="11">
        <f t="shared" si="5"/>
        <v>1</v>
      </c>
    </row>
    <row r="6" spans="1:11" x14ac:dyDescent="0.2">
      <c r="A6" s="1">
        <f t="shared" si="6"/>
        <v>5</v>
      </c>
      <c r="B6" s="6">
        <v>376121202500522</v>
      </c>
      <c r="C6" s="9" t="s">
        <v>13</v>
      </c>
      <c r="D6" s="3">
        <v>28100</v>
      </c>
      <c r="E6" s="3" t="str">
        <f t="shared" si="0"/>
        <v>76</v>
      </c>
      <c r="F6" s="2" t="s">
        <v>6</v>
      </c>
      <c r="G6" s="1" t="str">
        <f t="shared" si="1"/>
        <v>3</v>
      </c>
      <c r="H6" s="1" t="str">
        <f t="shared" si="2"/>
        <v>Incoherent</v>
      </c>
      <c r="I6" s="1" t="str">
        <f t="shared" si="3"/>
        <v>76</v>
      </c>
      <c r="J6" s="24" t="str">
        <f t="shared" si="4"/>
        <v>✅</v>
      </c>
      <c r="K6" s="11">
        <f t="shared" si="5"/>
        <v>0</v>
      </c>
    </row>
    <row r="7" spans="1:11" x14ac:dyDescent="0.2">
      <c r="A7" s="1">
        <f t="shared" si="6"/>
        <v>6</v>
      </c>
      <c r="B7" s="7"/>
      <c r="C7" s="9"/>
      <c r="D7" s="1"/>
      <c r="E7" s="1"/>
      <c r="F7" s="2"/>
      <c r="G7" s="1"/>
      <c r="H7" s="1"/>
      <c r="I7" s="1"/>
      <c r="J7" s="1"/>
      <c r="K7" s="11" t="str">
        <f t="shared" si="5"/>
        <v/>
      </c>
    </row>
    <row r="8" spans="1:11" x14ac:dyDescent="0.2">
      <c r="A8" s="1">
        <f t="shared" si="6"/>
        <v>7</v>
      </c>
      <c r="B8" s="7"/>
      <c r="C8" s="9"/>
      <c r="D8" s="1"/>
      <c r="E8" s="1"/>
      <c r="F8" s="2"/>
      <c r="G8" s="1"/>
      <c r="H8" s="1"/>
      <c r="I8" s="1"/>
      <c r="J8" s="1"/>
      <c r="K8" s="11" t="str">
        <f t="shared" si="5"/>
        <v/>
      </c>
    </row>
    <row r="9" spans="1:11" x14ac:dyDescent="0.2">
      <c r="A9" s="1">
        <f t="shared" si="6"/>
        <v>8</v>
      </c>
      <c r="B9" s="7"/>
      <c r="C9" s="9"/>
      <c r="D9" s="1"/>
      <c r="E9" s="1"/>
      <c r="F9" s="2"/>
      <c r="G9" s="1"/>
      <c r="H9" s="1"/>
      <c r="I9" s="1"/>
      <c r="J9" s="1"/>
      <c r="K9" s="11" t="str">
        <f t="shared" si="5"/>
        <v/>
      </c>
    </row>
    <row r="10" spans="1:11" x14ac:dyDescent="0.2">
      <c r="A10" s="1">
        <f t="shared" si="6"/>
        <v>9</v>
      </c>
      <c r="B10" s="7"/>
      <c r="C10" s="9"/>
      <c r="D10" s="1"/>
      <c r="E10" s="1"/>
      <c r="F10" s="2"/>
      <c r="G10" s="1"/>
      <c r="H10" s="1"/>
      <c r="I10" s="1"/>
      <c r="J10" s="1"/>
      <c r="K10" s="11" t="str">
        <f t="shared" si="5"/>
        <v/>
      </c>
    </row>
    <row r="11" spans="1:11" x14ac:dyDescent="0.2">
      <c r="A11" s="1">
        <f t="shared" si="6"/>
        <v>10</v>
      </c>
      <c r="B11" s="7"/>
      <c r="C11" s="9"/>
      <c r="D11" s="1"/>
      <c r="E11" s="1"/>
      <c r="F11" s="2"/>
      <c r="G11" s="1"/>
      <c r="H11" s="1"/>
      <c r="I11" s="1"/>
      <c r="J11" s="1"/>
      <c r="K11" s="11" t="str">
        <f t="shared" si="5"/>
        <v/>
      </c>
    </row>
    <row r="12" spans="1:11" x14ac:dyDescent="0.2">
      <c r="A12" s="1">
        <f t="shared" si="6"/>
        <v>11</v>
      </c>
      <c r="B12" s="7"/>
      <c r="C12" s="9"/>
      <c r="D12" s="1"/>
      <c r="E12" s="1"/>
      <c r="F12" s="2"/>
      <c r="G12" s="1"/>
      <c r="H12" s="1"/>
      <c r="I12" s="1"/>
      <c r="J12" s="1"/>
      <c r="K12" s="11" t="str">
        <f t="shared" si="5"/>
        <v/>
      </c>
    </row>
    <row r="13" spans="1:11" x14ac:dyDescent="0.2">
      <c r="A13" s="1">
        <f t="shared" si="6"/>
        <v>12</v>
      </c>
      <c r="B13" s="7"/>
      <c r="C13" s="9"/>
      <c r="D13" s="1"/>
      <c r="E13" s="1"/>
      <c r="F13" s="2"/>
      <c r="G13" s="1"/>
      <c r="H13" s="1"/>
      <c r="I13" s="1"/>
      <c r="J13" s="1"/>
      <c r="K13" s="11" t="str">
        <f t="shared" si="5"/>
        <v/>
      </c>
    </row>
    <row r="14" spans="1:11" x14ac:dyDescent="0.2">
      <c r="A14" s="1">
        <f t="shared" si="6"/>
        <v>13</v>
      </c>
      <c r="B14" s="7"/>
      <c r="C14" s="9"/>
      <c r="D14" s="1"/>
      <c r="E14" s="1"/>
      <c r="F14" s="2"/>
      <c r="G14" s="1"/>
      <c r="H14" s="1"/>
      <c r="I14" s="1"/>
      <c r="J14" s="1"/>
      <c r="K14" s="11" t="str">
        <f t="shared" si="5"/>
        <v/>
      </c>
    </row>
    <row r="15" spans="1:11" x14ac:dyDescent="0.2">
      <c r="A15" s="1">
        <f t="shared" si="6"/>
        <v>14</v>
      </c>
      <c r="B15" s="7"/>
      <c r="C15" s="9"/>
      <c r="D15" s="1"/>
      <c r="E15" s="1"/>
      <c r="F15" s="2"/>
      <c r="G15" s="1"/>
      <c r="H15" s="1"/>
      <c r="I15" s="1"/>
      <c r="J15" s="1"/>
      <c r="K15" s="11" t="str">
        <f t="shared" si="5"/>
        <v/>
      </c>
    </row>
    <row r="16" spans="1:11" x14ac:dyDescent="0.2">
      <c r="A16" s="1">
        <f t="shared" si="6"/>
        <v>15</v>
      </c>
      <c r="B16" s="7"/>
      <c r="C16" s="9"/>
      <c r="D16" s="1"/>
      <c r="E16" s="1"/>
      <c r="F16" s="2"/>
      <c r="G16" s="1"/>
      <c r="H16" s="1"/>
      <c r="I16" s="1"/>
      <c r="J16" s="1"/>
      <c r="K16" s="11" t="str">
        <f t="shared" si="5"/>
        <v/>
      </c>
    </row>
    <row r="17" spans="1:11" x14ac:dyDescent="0.2">
      <c r="A17" s="1">
        <f t="shared" si="6"/>
        <v>16</v>
      </c>
      <c r="B17" s="7"/>
      <c r="C17" s="9"/>
      <c r="D17" s="1"/>
      <c r="E17" s="1"/>
      <c r="F17" s="2"/>
      <c r="G17" s="1"/>
      <c r="H17" s="1"/>
      <c r="I17" s="1"/>
      <c r="J17" s="1"/>
      <c r="K17" s="11" t="str">
        <f t="shared" si="5"/>
        <v/>
      </c>
    </row>
    <row r="18" spans="1:11" x14ac:dyDescent="0.2">
      <c r="A18" s="1">
        <f t="shared" si="6"/>
        <v>17</v>
      </c>
      <c r="B18" s="7"/>
      <c r="C18" s="9"/>
      <c r="D18" s="1"/>
      <c r="E18" s="1"/>
      <c r="F18" s="2"/>
      <c r="G18" s="1"/>
      <c r="H18" s="1"/>
      <c r="I18" s="1"/>
      <c r="J18" s="1"/>
      <c r="K18" s="11" t="str">
        <f t="shared" si="5"/>
        <v/>
      </c>
    </row>
  </sheetData>
  <autoFilter ref="A1:K18" xr:uid="{06DBFBA0-38E4-9449-A09A-50FD42EE981A}"/>
  <phoneticPr fontId="2" type="noConversion"/>
  <conditionalFormatting sqref="K1:K18">
    <cfRule type="cellIs" dxfId="4" priority="5" operator="equal">
      <formula>1</formula>
    </cfRule>
  </conditionalFormatting>
  <conditionalFormatting sqref="H1:H18">
    <cfRule type="containsText" dxfId="3" priority="4" operator="containsText" text="Incoherent">
      <formula>NOT(ISERROR(SEARCH("Incoherent",H1)))</formula>
    </cfRule>
  </conditionalFormatting>
  <conditionalFormatting sqref="J1:J18">
    <cfRule type="containsText" dxfId="2" priority="3" operator="containsText" text="Incoherent">
      <formula>NOT(ISERROR(SEARCH("Incoherent",J1)))</formula>
    </cfRule>
  </conditionalFormatting>
  <conditionalFormatting sqref="G1:G18">
    <cfRule type="containsText" dxfId="1" priority="2" operator="containsText" text="3">
      <formula>NOT(ISERROR(SEARCH("3",G1)))</formula>
    </cfRule>
  </conditionalFormatting>
  <conditionalFormatting sqref="J1:J1048576">
    <cfRule type="containsText" dxfId="0" priority="1" operator="containsText" text="OK">
      <formula>NOT(ISERROR(SEARCH("OK",J1)))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5F7F-0F5F-C24C-A361-EF47C232E9DF}">
  <sheetPr codeName="Feuil4"/>
  <dimension ref="A1:J33"/>
  <sheetViews>
    <sheetView showGridLines="0" tabSelected="1" workbookViewId="0">
      <pane ySplit="1" topLeftCell="A2" activePane="bottomLeft" state="frozen"/>
      <selection pane="bottomLeft"/>
    </sheetView>
  </sheetViews>
  <sheetFormatPr baseColWidth="10" defaultRowHeight="16" x14ac:dyDescent="0.2"/>
  <cols>
    <col min="2" max="2" width="27.83203125" bestFit="1" customWidth="1"/>
    <col min="3" max="3" width="15.6640625" style="12" bestFit="1" customWidth="1"/>
    <col min="4" max="4" width="12.1640625" style="12" bestFit="1" customWidth="1"/>
    <col min="5" max="5" width="15" bestFit="1" customWidth="1"/>
    <col min="6" max="6" width="33.1640625" customWidth="1"/>
    <col min="7" max="7" width="22.1640625" customWidth="1"/>
    <col min="8" max="8" width="12.5" customWidth="1"/>
    <col min="9" max="9" width="28.83203125" bestFit="1" customWidth="1"/>
    <col min="10" max="10" width="21.1640625" bestFit="1" customWidth="1"/>
  </cols>
  <sheetData>
    <row r="1" spans="1:10" x14ac:dyDescent="0.2">
      <c r="A1" s="4" t="s">
        <v>14</v>
      </c>
      <c r="B1" s="4" t="s">
        <v>19</v>
      </c>
      <c r="C1" s="10" t="s">
        <v>11</v>
      </c>
      <c r="D1" s="10" t="s">
        <v>68</v>
      </c>
      <c r="E1" s="4" t="s">
        <v>15</v>
      </c>
      <c r="F1" s="4" t="s">
        <v>16</v>
      </c>
      <c r="G1" s="4" t="s">
        <v>23</v>
      </c>
      <c r="H1" s="4" t="s">
        <v>24</v>
      </c>
      <c r="I1" s="4" t="s">
        <v>37</v>
      </c>
      <c r="J1" s="4" t="s">
        <v>29</v>
      </c>
    </row>
    <row r="2" spans="1:10" x14ac:dyDescent="0.2">
      <c r="A2" s="3">
        <v>41445</v>
      </c>
      <c r="B2" s="63" t="s">
        <v>18</v>
      </c>
      <c r="C2" s="11">
        <v>2002</v>
      </c>
      <c r="D2" s="13" t="s">
        <v>70</v>
      </c>
      <c r="E2" s="1" t="s">
        <v>17</v>
      </c>
      <c r="F2" s="1" t="s">
        <v>28</v>
      </c>
      <c r="G2" s="1" t="str">
        <f>IF(B2="","",IF(LEN(TRIM(B2))-LEN(SUBSTITUTE(TRIM(B2)," ",""))=0,TRIM(B2),LEFT(TRIM(B2),SEARCH("@",SUBSTITUTE(TRIM(B2)," ","@",LEN(TRIM(B2))-LEN(SUBSTITUTE(TRIM(B2)," ",""))))-1)))</f>
        <v>LIBAUD CARRIE</v>
      </c>
      <c r="H2" s="1" t="str">
        <f>IF(B2="","",IF(LEN(TRIM(B2))-LEN(SUBSTITUTE(TRIM(B2)," ",""))=0,"",RIGHT(TRIM(B2),LEN(TRIM(B2))-SEARCH("@",SUBSTITUTE(TRIM(B2)," ","@",LEN(TRIM(B2))-LEN(SUBSTITUTE(TRIM(B2)," ","")))))))</f>
        <v>Enzo</v>
      </c>
      <c r="I2" s="61" t="s">
        <v>77</v>
      </c>
      <c r="J2" s="1" t="str">
        <f t="shared" ref="J2:J33" si="0">IF(B2=TRIM(B2),"","❌ Espace(s) superflu(s)") &amp; IF(OR(C2="",NOT(ISNUMBER(C2)),LEN(C2)&lt;&gt;4),IF(B2=TRIM(B2),""," / ") &amp; "❌ Date incorrecte",IF(AND(B2=TRIM(B2),ISNUMBER(C2),LEN(C2)=4),"✅ OK",""))</f>
        <v>✅ OK</v>
      </c>
    </row>
    <row r="3" spans="1:10" x14ac:dyDescent="0.2">
      <c r="A3" s="3">
        <f>A2+1</f>
        <v>41446</v>
      </c>
      <c r="B3" s="14" t="s">
        <v>20</v>
      </c>
      <c r="C3" s="15">
        <v>1985</v>
      </c>
      <c r="D3" s="13" t="s">
        <v>69</v>
      </c>
      <c r="E3" s="1"/>
      <c r="F3" s="1"/>
      <c r="G3" s="1" t="str">
        <f t="shared" ref="G3:G33" si="1">IF(B3="","",IF(LEN(TRIM(B3))-LEN(SUBSTITUTE(TRIM(B3)," ",""))=0,TRIM(B3),LEFT(TRIM(B3),SEARCH("@",SUBSTITUTE(TRIM(B3)," ","@",LEN(TRIM(B3))-LEN(SUBSTITUTE(TRIM(B3)," ",""))))-1)))</f>
        <v>Le Blanc</v>
      </c>
      <c r="H3" s="1" t="str">
        <f t="shared" ref="H3:H33" si="2">IF(B3="","",IF(LEN(TRIM(B3))-LEN(SUBSTITUTE(TRIM(B3)," ",""))=0,"",RIGHT(TRIM(B3),LEN(TRIM(B3))-SEARCH("@",SUBSTITUTE(TRIM(B3)," ","@",LEN(TRIM(B3))-LEN(SUBSTITUTE(TRIM(B3)," ","")))))))</f>
        <v>Marie</v>
      </c>
      <c r="I3" s="61" t="s">
        <v>77</v>
      </c>
      <c r="J3" s="1" t="str">
        <f t="shared" si="0"/>
        <v>✅ OK</v>
      </c>
    </row>
    <row r="4" spans="1:10" x14ac:dyDescent="0.2">
      <c r="A4" s="3">
        <f t="shared" ref="A4:A33" si="3">A3+1</f>
        <v>41447</v>
      </c>
      <c r="B4" s="1" t="s">
        <v>30</v>
      </c>
      <c r="C4" s="11">
        <v>1973</v>
      </c>
      <c r="D4" s="13" t="s">
        <v>69</v>
      </c>
      <c r="E4" s="1"/>
      <c r="F4" s="1"/>
      <c r="G4" s="1" t="str">
        <f t="shared" si="1"/>
        <v>Jean-Claude</v>
      </c>
      <c r="H4" s="1" t="str">
        <f t="shared" si="2"/>
        <v>Martin</v>
      </c>
      <c r="I4" s="61" t="s">
        <v>77</v>
      </c>
      <c r="J4" s="1" t="str">
        <f t="shared" si="0"/>
        <v>❌ Espace(s) superflu(s)</v>
      </c>
    </row>
    <row r="5" spans="1:10" x14ac:dyDescent="0.2">
      <c r="A5" s="3">
        <f t="shared" si="3"/>
        <v>41448</v>
      </c>
      <c r="B5" s="1" t="s">
        <v>21</v>
      </c>
      <c r="C5" s="11">
        <v>1965</v>
      </c>
      <c r="D5" s="13" t="s">
        <v>69</v>
      </c>
      <c r="E5" s="1"/>
      <c r="F5" s="1"/>
      <c r="G5" s="1" t="str">
        <f t="shared" si="1"/>
        <v>Dupont</v>
      </c>
      <c r="H5" s="1" t="str">
        <f t="shared" si="2"/>
        <v>Jean</v>
      </c>
      <c r="I5" s="61" t="s">
        <v>77</v>
      </c>
      <c r="J5" s="1" t="str">
        <f t="shared" si="0"/>
        <v>❌ Espace(s) superflu(s)</v>
      </c>
    </row>
    <row r="6" spans="1:10" x14ac:dyDescent="0.2">
      <c r="A6" s="3">
        <f t="shared" si="3"/>
        <v>41449</v>
      </c>
      <c r="B6" s="1" t="s">
        <v>22</v>
      </c>
      <c r="C6" s="11">
        <v>1965</v>
      </c>
      <c r="D6" s="13" t="s">
        <v>69</v>
      </c>
      <c r="E6" s="1"/>
      <c r="F6" s="1"/>
      <c r="G6" s="1" t="str">
        <f t="shared" si="1"/>
        <v>Jean</v>
      </c>
      <c r="H6" s="1" t="str">
        <f t="shared" si="2"/>
        <v>DUPONT</v>
      </c>
      <c r="I6" s="61" t="s">
        <v>77</v>
      </c>
      <c r="J6" s="1" t="str">
        <f t="shared" si="0"/>
        <v>✅ OK</v>
      </c>
    </row>
    <row r="7" spans="1:10" x14ac:dyDescent="0.2">
      <c r="A7" s="3">
        <f t="shared" si="3"/>
        <v>41450</v>
      </c>
      <c r="B7" s="1" t="s">
        <v>25</v>
      </c>
      <c r="C7" s="11">
        <v>1977</v>
      </c>
      <c r="D7" s="13" t="s">
        <v>69</v>
      </c>
      <c r="E7" s="1"/>
      <c r="F7" s="1"/>
      <c r="G7" s="1" t="str">
        <f t="shared" si="1"/>
        <v>Legrand</v>
      </c>
      <c r="H7" s="1" t="str">
        <f t="shared" si="2"/>
        <v>Pierre</v>
      </c>
      <c r="I7" s="61" t="s">
        <v>77</v>
      </c>
      <c r="J7" s="1" t="str">
        <f t="shared" si="0"/>
        <v>✅ OK</v>
      </c>
    </row>
    <row r="8" spans="1:10" x14ac:dyDescent="0.2">
      <c r="A8" s="3">
        <v>41445</v>
      </c>
      <c r="B8" s="63" t="s">
        <v>80</v>
      </c>
      <c r="C8" s="11">
        <v>2002</v>
      </c>
      <c r="D8" s="13" t="s">
        <v>70</v>
      </c>
      <c r="E8" s="1"/>
      <c r="F8" s="1"/>
      <c r="G8" s="1" t="str">
        <f>IF(B8="","",IF(LEN(TRIM(B8))-LEN(SUBSTITUTE(TRIM(B8)," ",""))=0,TRIM(B8),LEFT(TRIM(B8),SEARCH("@",SUBSTITUTE(TRIM(B8)," ","@",LEN(TRIM(B8))-LEN(SUBSTITUTE(TRIM(B8)," ",""))))-1)))</f>
        <v>LIBAUD</v>
      </c>
      <c r="H8" s="1" t="str">
        <f>IF(B8="","",IF(LEN(TRIM(B8))-LEN(SUBSTITUTE(TRIM(B8)," ",""))=0,"",RIGHT(TRIM(B8),LEN(TRIM(B8))-SEARCH("@",SUBSTITUTE(TRIM(B8)," ","@",LEN(TRIM(B8))-LEN(SUBSTITUTE(TRIM(B8)," ","")))))))</f>
        <v>Enzo</v>
      </c>
      <c r="I8" s="61" t="s">
        <v>77</v>
      </c>
      <c r="J8" s="1" t="str">
        <f t="shared" ref="J8" si="4">IF(B8=TRIM(B8),"","❌ Espace(s) superflu(s)") &amp; IF(OR(C8="",NOT(ISNUMBER(C8)),LEN(C8)&lt;&gt;4),IF(B8=TRIM(B8),""," / ") &amp; "❌ Date incorrecte",IF(AND(B8=TRIM(B8),ISNUMBER(C8),LEN(C8)=4),"✅ OK",""))</f>
        <v>❌ Espace(s) superflu(s)</v>
      </c>
    </row>
    <row r="9" spans="1:10" x14ac:dyDescent="0.2">
      <c r="A9" s="3">
        <f>A7+1</f>
        <v>41451</v>
      </c>
      <c r="B9" s="1" t="s">
        <v>26</v>
      </c>
      <c r="C9" s="11">
        <v>1956</v>
      </c>
      <c r="D9" s="13" t="s">
        <v>69</v>
      </c>
      <c r="E9" s="1"/>
      <c r="F9" s="1"/>
      <c r="G9" s="1" t="str">
        <f t="shared" si="1"/>
        <v>Durand</v>
      </c>
      <c r="H9" s="1" t="str">
        <f t="shared" si="2"/>
        <v/>
      </c>
      <c r="I9" s="62" t="s">
        <v>85</v>
      </c>
      <c r="J9" s="1" t="str">
        <f t="shared" si="0"/>
        <v>✅ OK</v>
      </c>
    </row>
    <row r="10" spans="1:10" x14ac:dyDescent="0.2">
      <c r="A10" s="3">
        <f t="shared" si="3"/>
        <v>41452</v>
      </c>
      <c r="B10" s="14" t="s">
        <v>27</v>
      </c>
      <c r="C10" s="15">
        <v>1956</v>
      </c>
      <c r="D10" s="16" t="s">
        <v>69</v>
      </c>
      <c r="E10" s="1"/>
      <c r="F10" s="1"/>
      <c r="G10" s="1" t="str">
        <f t="shared" si="1"/>
        <v>Durand Paul</v>
      </c>
      <c r="H10" s="1" t="str">
        <f t="shared" si="2"/>
        <v>Henri</v>
      </c>
      <c r="I10" s="62" t="s">
        <v>82</v>
      </c>
      <c r="J10" s="1" t="str">
        <f t="shared" si="0"/>
        <v>✅ OK</v>
      </c>
    </row>
    <row r="11" spans="1:10" x14ac:dyDescent="0.2">
      <c r="A11" s="3">
        <f t="shared" si="3"/>
        <v>41453</v>
      </c>
      <c r="B11" s="1" t="s">
        <v>31</v>
      </c>
      <c r="C11" s="11">
        <v>1982</v>
      </c>
      <c r="D11" s="13" t="s">
        <v>69</v>
      </c>
      <c r="E11" s="1"/>
      <c r="F11" s="1"/>
      <c r="G11" s="1" t="str">
        <f t="shared" si="1"/>
        <v>dos Santos Ferreira José</v>
      </c>
      <c r="H11" s="1" t="str">
        <f t="shared" si="2"/>
        <v>Manuel</v>
      </c>
      <c r="I11" s="61" t="s">
        <v>77</v>
      </c>
      <c r="J11" s="1" t="str">
        <f t="shared" si="0"/>
        <v>✅ OK</v>
      </c>
    </row>
    <row r="12" spans="1:10" x14ac:dyDescent="0.2">
      <c r="A12" s="3">
        <f t="shared" si="3"/>
        <v>41454</v>
      </c>
      <c r="B12" s="1" t="s">
        <v>32</v>
      </c>
      <c r="C12" s="11"/>
      <c r="D12" s="13" t="s">
        <v>70</v>
      </c>
      <c r="E12" s="1"/>
      <c r="F12" s="1"/>
      <c r="G12" s="1" t="str">
        <f t="shared" si="1"/>
        <v>da Silva</v>
      </c>
      <c r="H12" s="1" t="str">
        <f t="shared" si="2"/>
        <v>Maria</v>
      </c>
      <c r="I12" s="61" t="s">
        <v>77</v>
      </c>
      <c r="J12" s="1" t="str">
        <f t="shared" si="0"/>
        <v>❌ Date incorrecte</v>
      </c>
    </row>
    <row r="13" spans="1:10" x14ac:dyDescent="0.2">
      <c r="A13" s="3">
        <f t="shared" si="3"/>
        <v>41455</v>
      </c>
      <c r="B13" s="1" t="s">
        <v>34</v>
      </c>
      <c r="C13" s="11">
        <v>1982</v>
      </c>
      <c r="D13" s="13" t="s">
        <v>69</v>
      </c>
      <c r="E13" s="1"/>
      <c r="F13" s="1"/>
      <c r="G13" s="1" t="str">
        <f t="shared" si="1"/>
        <v>Santos João</v>
      </c>
      <c r="H13" s="1" t="str">
        <f t="shared" si="2"/>
        <v>Pedro</v>
      </c>
      <c r="I13" s="61" t="s">
        <v>77</v>
      </c>
      <c r="J13" s="1" t="str">
        <f t="shared" si="0"/>
        <v>❌ Espace(s) superflu(s)</v>
      </c>
    </row>
    <row r="14" spans="1:10" x14ac:dyDescent="0.2">
      <c r="A14" s="3">
        <f t="shared" si="3"/>
        <v>41456</v>
      </c>
      <c r="B14" s="1" t="s">
        <v>33</v>
      </c>
      <c r="C14" s="11">
        <v>1870</v>
      </c>
      <c r="D14" s="13" t="s">
        <v>69</v>
      </c>
      <c r="E14" s="1"/>
      <c r="F14" s="1"/>
      <c r="G14" s="1" t="str">
        <f t="shared" si="1"/>
        <v>Costa</v>
      </c>
      <c r="H14" s="1" t="str">
        <f t="shared" si="2"/>
        <v>António</v>
      </c>
      <c r="I14" s="61" t="s">
        <v>77</v>
      </c>
      <c r="J14" s="1" t="str">
        <f t="shared" si="0"/>
        <v>✅ OK</v>
      </c>
    </row>
    <row r="15" spans="1:10" x14ac:dyDescent="0.2">
      <c r="A15" s="3">
        <f t="shared" si="3"/>
        <v>41457</v>
      </c>
      <c r="B15" s="14" t="s">
        <v>35</v>
      </c>
      <c r="C15" s="15">
        <v>1975</v>
      </c>
      <c r="D15" s="16" t="s">
        <v>70</v>
      </c>
      <c r="E15" s="1"/>
      <c r="F15" s="1"/>
      <c r="G15" s="1" t="str">
        <f t="shared" si="1"/>
        <v>Da Silva</v>
      </c>
      <c r="H15" s="1" t="str">
        <f t="shared" si="2"/>
        <v>Manuel</v>
      </c>
      <c r="I15" s="62" t="s">
        <v>83</v>
      </c>
      <c r="J15" s="1" t="str">
        <f t="shared" si="0"/>
        <v>✅ OK</v>
      </c>
    </row>
    <row r="16" spans="1:10" x14ac:dyDescent="0.2">
      <c r="A16" s="3">
        <f t="shared" si="3"/>
        <v>41458</v>
      </c>
      <c r="B16" s="14" t="s">
        <v>36</v>
      </c>
      <c r="C16" s="15">
        <v>1975</v>
      </c>
      <c r="D16" s="16" t="s">
        <v>70</v>
      </c>
      <c r="E16" s="1"/>
      <c r="F16" s="1"/>
      <c r="G16" s="1" t="str">
        <f t="shared" si="1"/>
        <v>DA SILVA</v>
      </c>
      <c r="H16" s="1" t="str">
        <f t="shared" si="2"/>
        <v>Manu</v>
      </c>
      <c r="I16" s="62" t="s">
        <v>78</v>
      </c>
      <c r="J16" s="1" t="str">
        <f t="shared" si="0"/>
        <v>✅ OK</v>
      </c>
    </row>
    <row r="17" spans="1:10" x14ac:dyDescent="0.2">
      <c r="A17" s="3">
        <f t="shared" si="3"/>
        <v>41459</v>
      </c>
      <c r="B17" s="1" t="s">
        <v>53</v>
      </c>
      <c r="C17" s="11">
        <v>1956</v>
      </c>
      <c r="D17" s="13" t="s">
        <v>69</v>
      </c>
      <c r="E17" s="1"/>
      <c r="F17" s="1"/>
      <c r="G17" s="1" t="str">
        <f t="shared" si="1"/>
        <v>Dupont</v>
      </c>
      <c r="H17" s="1" t="str">
        <f t="shared" si="2"/>
        <v>Jean-Claude</v>
      </c>
      <c r="I17" s="61" t="s">
        <v>77</v>
      </c>
      <c r="J17" s="1" t="str">
        <f t="shared" si="0"/>
        <v>✅ OK</v>
      </c>
    </row>
    <row r="18" spans="1:10" x14ac:dyDescent="0.2">
      <c r="A18" s="3">
        <f t="shared" si="3"/>
        <v>41460</v>
      </c>
      <c r="B18" s="1" t="s">
        <v>54</v>
      </c>
      <c r="C18" s="11">
        <v>1956</v>
      </c>
      <c r="D18" s="13" t="s">
        <v>69</v>
      </c>
      <c r="E18" s="1"/>
      <c r="F18" s="1"/>
      <c r="G18" s="1" t="str">
        <f t="shared" si="1"/>
        <v>Jean Claude</v>
      </c>
      <c r="H18" s="1" t="str">
        <f t="shared" si="2"/>
        <v>Dupont</v>
      </c>
      <c r="I18" s="61" t="s">
        <v>77</v>
      </c>
      <c r="J18" s="1" t="str">
        <f t="shared" si="0"/>
        <v>✅ OK</v>
      </c>
    </row>
    <row r="19" spans="1:10" x14ac:dyDescent="0.2">
      <c r="A19" s="3">
        <f t="shared" si="3"/>
        <v>41461</v>
      </c>
      <c r="B19" s="1" t="s">
        <v>55</v>
      </c>
      <c r="C19" s="11">
        <v>1956</v>
      </c>
      <c r="D19" s="13" t="s">
        <v>69</v>
      </c>
      <c r="E19" s="1"/>
      <c r="F19" s="1"/>
      <c r="G19" s="1" t="str">
        <f t="shared" si="1"/>
        <v>Marie</v>
      </c>
      <c r="H19" s="1" t="str">
        <f t="shared" si="2"/>
        <v>Leblanc</v>
      </c>
      <c r="I19" s="61" t="s">
        <v>77</v>
      </c>
      <c r="J19" s="1" t="str">
        <f t="shared" si="0"/>
        <v>❌ Espace(s) superflu(s)</v>
      </c>
    </row>
    <row r="20" spans="1:10" x14ac:dyDescent="0.2">
      <c r="A20" s="3">
        <f t="shared" si="3"/>
        <v>41462</v>
      </c>
      <c r="B20" s="1" t="s">
        <v>56</v>
      </c>
      <c r="C20" s="11">
        <v>1957</v>
      </c>
      <c r="D20" s="13" t="s">
        <v>69</v>
      </c>
      <c r="E20" s="1"/>
      <c r="F20" s="1"/>
      <c r="G20" s="1" t="str">
        <f t="shared" si="1"/>
        <v>Marie</v>
      </c>
      <c r="H20" s="1" t="str">
        <f t="shared" si="2"/>
        <v>LeBlanc</v>
      </c>
      <c r="I20" s="61" t="s">
        <v>77</v>
      </c>
      <c r="J20" s="1" t="str">
        <f t="shared" si="0"/>
        <v>❌ Espace(s) superflu(s)</v>
      </c>
    </row>
    <row r="21" spans="1:10" x14ac:dyDescent="0.2">
      <c r="A21" s="3">
        <f t="shared" si="3"/>
        <v>41463</v>
      </c>
      <c r="B21" s="14" t="s">
        <v>57</v>
      </c>
      <c r="C21" s="15">
        <v>1985</v>
      </c>
      <c r="D21" s="13" t="s">
        <v>70</v>
      </c>
      <c r="E21" s="1"/>
      <c r="F21" s="1"/>
      <c r="G21" s="1" t="str">
        <f t="shared" si="1"/>
        <v>LEBLANC</v>
      </c>
      <c r="H21" s="1" t="str">
        <f t="shared" si="2"/>
        <v>Marie</v>
      </c>
      <c r="I21" s="61" t="s">
        <v>77</v>
      </c>
      <c r="J21" s="1" t="str">
        <f t="shared" si="0"/>
        <v>✅ OK</v>
      </c>
    </row>
    <row r="22" spans="1:10" x14ac:dyDescent="0.2">
      <c r="A22" s="3">
        <f t="shared" si="3"/>
        <v>41464</v>
      </c>
      <c r="B22" s="1" t="s">
        <v>58</v>
      </c>
      <c r="C22" s="11">
        <v>1956</v>
      </c>
      <c r="D22" s="13" t="s">
        <v>70</v>
      </c>
      <c r="E22" s="1"/>
      <c r="F22" s="1"/>
      <c r="G22" s="1" t="str">
        <f t="shared" si="1"/>
        <v>Maria</v>
      </c>
      <c r="H22" s="1" t="str">
        <f t="shared" si="2"/>
        <v>DaSilva</v>
      </c>
      <c r="I22" s="61" t="s">
        <v>77</v>
      </c>
      <c r="J22" s="1" t="str">
        <f t="shared" si="0"/>
        <v>✅ OK</v>
      </c>
    </row>
    <row r="23" spans="1:10" x14ac:dyDescent="0.2">
      <c r="A23" s="3">
        <f t="shared" si="3"/>
        <v>41465</v>
      </c>
      <c r="B23" s="1" t="s">
        <v>59</v>
      </c>
      <c r="C23" s="11">
        <v>1956</v>
      </c>
      <c r="D23" s="13" t="s">
        <v>70</v>
      </c>
      <c r="E23" s="1"/>
      <c r="F23" s="1"/>
      <c r="G23" s="1" t="str">
        <f t="shared" si="1"/>
        <v>DA SILVA</v>
      </c>
      <c r="H23" s="1" t="str">
        <f t="shared" si="2"/>
        <v>M.</v>
      </c>
      <c r="I23" s="62" t="s">
        <v>86</v>
      </c>
      <c r="J23" s="1" t="str">
        <f t="shared" si="0"/>
        <v>✅ OK</v>
      </c>
    </row>
    <row r="24" spans="1:10" x14ac:dyDescent="0.2">
      <c r="A24" s="3">
        <f t="shared" si="3"/>
        <v>41466</v>
      </c>
      <c r="B24" s="1" t="s">
        <v>60</v>
      </c>
      <c r="C24" s="11">
        <v>1956</v>
      </c>
      <c r="D24" s="13" t="s">
        <v>70</v>
      </c>
      <c r="E24" s="1"/>
      <c r="F24" s="1"/>
      <c r="G24" s="1" t="str">
        <f t="shared" si="1"/>
        <v>DA SILVA</v>
      </c>
      <c r="H24" s="1" t="str">
        <f t="shared" si="2"/>
        <v>José</v>
      </c>
      <c r="I24" s="62" t="s">
        <v>87</v>
      </c>
      <c r="J24" s="1" t="str">
        <f t="shared" si="0"/>
        <v>✅ OK</v>
      </c>
    </row>
    <row r="25" spans="1:10" x14ac:dyDescent="0.2">
      <c r="A25" s="3">
        <v>41445</v>
      </c>
      <c r="B25" s="63" t="s">
        <v>81</v>
      </c>
      <c r="C25" s="11">
        <v>2002</v>
      </c>
      <c r="D25" s="13" t="s">
        <v>70</v>
      </c>
      <c r="E25" s="1"/>
      <c r="F25" s="1"/>
      <c r="G25" s="1" t="str">
        <f>IF(B25="","",IF(LEN(TRIM(B25))-LEN(SUBSTITUTE(TRIM(B25)," ",""))=0,TRIM(B25),LEFT(TRIM(B25),SEARCH("@",SUBSTITUTE(TRIM(B25)," ","@",LEN(TRIM(B25))-LEN(SUBSTITUTE(TRIM(B25)," ",""))))-1)))</f>
        <v>CARRIE</v>
      </c>
      <c r="H25" s="1" t="str">
        <f>IF(B25="","",IF(LEN(TRIM(B25))-LEN(SUBSTITUTE(TRIM(B25)," ",""))=0,"",RIGHT(TRIM(B25),LEN(TRIM(B25))-SEARCH("@",SUBSTITUTE(TRIM(B25)," ","@",LEN(TRIM(B25))-LEN(SUBSTITUTE(TRIM(B25)," ","")))))))</f>
        <v>Enzo</v>
      </c>
      <c r="I25" s="61" t="s">
        <v>77</v>
      </c>
      <c r="J25" s="1" t="str">
        <f t="shared" ref="J25" si="5">IF(B25=TRIM(B25),"","❌ Espace(s) superflu(s)") &amp; IF(OR(C25="",NOT(ISNUMBER(C25)),LEN(C25)&lt;&gt;4),IF(B25=TRIM(B25),""," / ") &amp; "❌ Date incorrecte",IF(AND(B25=TRIM(B25),ISNUMBER(C25),LEN(C25)=4),"✅ OK",""))</f>
        <v>✅ OK</v>
      </c>
    </row>
    <row r="26" spans="1:10" x14ac:dyDescent="0.2">
      <c r="A26" s="3">
        <f>A24+1</f>
        <v>41467</v>
      </c>
      <c r="B26" s="1" t="s">
        <v>61</v>
      </c>
      <c r="C26" s="11">
        <v>1956</v>
      </c>
      <c r="D26" s="13" t="s">
        <v>70</v>
      </c>
      <c r="E26" s="1"/>
      <c r="F26" s="1"/>
      <c r="G26" s="1" t="str">
        <f t="shared" si="1"/>
        <v>José DA</v>
      </c>
      <c r="H26" s="1" t="str">
        <f t="shared" si="2"/>
        <v>SILVA</v>
      </c>
      <c r="I26" s="61" t="s">
        <v>77</v>
      </c>
      <c r="J26" s="1" t="str">
        <f t="shared" si="0"/>
        <v>✅ OK</v>
      </c>
    </row>
    <row r="27" spans="1:10" x14ac:dyDescent="0.2">
      <c r="A27" s="3">
        <f t="shared" si="3"/>
        <v>41468</v>
      </c>
      <c r="B27" s="1" t="s">
        <v>62</v>
      </c>
      <c r="C27" s="11">
        <v>1956</v>
      </c>
      <c r="D27" s="13" t="s">
        <v>69</v>
      </c>
      <c r="E27" s="1"/>
      <c r="F27" s="1"/>
      <c r="G27" s="1" t="str">
        <f t="shared" si="1"/>
        <v>Dos Santos Fereira José</v>
      </c>
      <c r="H27" s="1" t="str">
        <f t="shared" si="2"/>
        <v>M.</v>
      </c>
      <c r="I27" s="61" t="s">
        <v>77</v>
      </c>
      <c r="J27" s="1" t="str">
        <f t="shared" si="0"/>
        <v>✅ OK</v>
      </c>
    </row>
    <row r="28" spans="1:10" x14ac:dyDescent="0.2">
      <c r="A28" s="3">
        <f t="shared" si="3"/>
        <v>41469</v>
      </c>
      <c r="B28" s="1" t="s">
        <v>63</v>
      </c>
      <c r="C28" s="11">
        <v>1956</v>
      </c>
      <c r="D28" s="13" t="s">
        <v>69</v>
      </c>
      <c r="E28" s="1"/>
      <c r="F28" s="1"/>
      <c r="G28" s="1" t="str">
        <f t="shared" si="1"/>
        <v>Jean-Pierre</v>
      </c>
      <c r="H28" s="1" t="str">
        <f t="shared" si="2"/>
        <v>Legrand</v>
      </c>
      <c r="I28" s="61" t="s">
        <v>77</v>
      </c>
      <c r="J28" s="1" t="str">
        <f t="shared" si="0"/>
        <v>✅ OK</v>
      </c>
    </row>
    <row r="29" spans="1:10" x14ac:dyDescent="0.2">
      <c r="A29" s="3">
        <f t="shared" si="3"/>
        <v>41470</v>
      </c>
      <c r="B29" s="1" t="s">
        <v>64</v>
      </c>
      <c r="C29" s="11">
        <v>1956</v>
      </c>
      <c r="D29" s="13" t="s">
        <v>69</v>
      </c>
      <c r="E29" s="1"/>
      <c r="F29" s="1"/>
      <c r="G29" s="1" t="str">
        <f t="shared" si="1"/>
        <v>LEGRAND Jean</v>
      </c>
      <c r="H29" s="1" t="str">
        <f t="shared" si="2"/>
        <v>Pierre</v>
      </c>
      <c r="I29" s="61" t="s">
        <v>77</v>
      </c>
      <c r="J29" s="1" t="str">
        <f t="shared" si="0"/>
        <v>✅ OK</v>
      </c>
    </row>
    <row r="30" spans="1:10" x14ac:dyDescent="0.2">
      <c r="A30" s="3">
        <f t="shared" si="3"/>
        <v>41471</v>
      </c>
      <c r="B30" s="1" t="s">
        <v>65</v>
      </c>
      <c r="C30" s="11">
        <v>1956</v>
      </c>
      <c r="D30" s="13" t="s">
        <v>69</v>
      </c>
      <c r="E30" s="1"/>
      <c r="F30" s="1"/>
      <c r="G30" s="1" t="str">
        <f t="shared" si="1"/>
        <v>Durand</v>
      </c>
      <c r="H30" s="1" t="str">
        <f t="shared" si="2"/>
        <v>Paul-Henry</v>
      </c>
      <c r="I30" s="62" t="s">
        <v>84</v>
      </c>
      <c r="J30" s="1" t="str">
        <f t="shared" si="0"/>
        <v>✅ OK</v>
      </c>
    </row>
    <row r="31" spans="1:10" x14ac:dyDescent="0.2">
      <c r="A31" s="3">
        <f t="shared" si="3"/>
        <v>41472</v>
      </c>
      <c r="B31" s="14" t="s">
        <v>66</v>
      </c>
      <c r="C31" s="15">
        <v>1956</v>
      </c>
      <c r="D31" s="16" t="s">
        <v>69</v>
      </c>
      <c r="E31" s="1"/>
      <c r="F31" s="1"/>
      <c r="G31" s="1" t="str">
        <f t="shared" si="1"/>
        <v>Paul Henri</v>
      </c>
      <c r="H31" s="1" t="str">
        <f t="shared" si="2"/>
        <v>DURAND</v>
      </c>
      <c r="I31" s="61" t="s">
        <v>77</v>
      </c>
      <c r="J31" s="1" t="str">
        <f t="shared" si="0"/>
        <v>✅ OK</v>
      </c>
    </row>
    <row r="32" spans="1:10" x14ac:dyDescent="0.2">
      <c r="A32" s="3">
        <f t="shared" si="3"/>
        <v>41473</v>
      </c>
      <c r="B32" s="1" t="s">
        <v>52</v>
      </c>
      <c r="C32" s="11">
        <v>1956</v>
      </c>
      <c r="D32" s="13" t="s">
        <v>69</v>
      </c>
      <c r="E32" s="1"/>
      <c r="F32" s="1"/>
      <c r="G32" s="1" t="str">
        <f t="shared" si="1"/>
        <v>DURAND</v>
      </c>
      <c r="H32" s="1" t="str">
        <f t="shared" si="2"/>
        <v>P.</v>
      </c>
      <c r="I32" s="62" t="s">
        <v>79</v>
      </c>
      <c r="J32" s="1" t="str">
        <f t="shared" si="0"/>
        <v>✅ OK</v>
      </c>
    </row>
    <row r="33" spans="1:10" x14ac:dyDescent="0.2">
      <c r="A33" s="3">
        <f t="shared" si="3"/>
        <v>41474</v>
      </c>
      <c r="B33" s="1" t="s">
        <v>67</v>
      </c>
      <c r="C33" s="11">
        <v>1956</v>
      </c>
      <c r="D33" s="13" t="s">
        <v>70</v>
      </c>
      <c r="E33" s="1"/>
      <c r="F33" s="1"/>
      <c r="G33" s="1" t="str">
        <f t="shared" si="1"/>
        <v>DaSilva</v>
      </c>
      <c r="H33" s="1" t="str">
        <f t="shared" si="2"/>
        <v>Manuel</v>
      </c>
      <c r="I33" s="61" t="s">
        <v>77</v>
      </c>
      <c r="J33" s="1" t="str">
        <f t="shared" si="0"/>
        <v>✅ OK</v>
      </c>
    </row>
  </sheetData>
  <autoFilter ref="A1:J33" xr:uid="{04035F7F-0F5F-C24C-A361-EF47C232E9DF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833C7-1F05-C841-9D0A-FE2CE893B03A}">
  <sheetPr codeName="Feuil2"/>
  <dimension ref="A1"/>
  <sheetViews>
    <sheetView showGridLines="0" workbookViewId="0">
      <selection activeCell="I38" sqref="I38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A6AE8-3681-B947-92E9-447BBFD0E3B7}">
  <sheetPr codeName="Feuil5"/>
  <dimension ref="A1:P32"/>
  <sheetViews>
    <sheetView showGridLines="0" zoomScaleNormal="100" workbookViewId="0">
      <selection activeCell="D4" sqref="D4"/>
    </sheetView>
  </sheetViews>
  <sheetFormatPr baseColWidth="10" defaultRowHeight="16" x14ac:dyDescent="0.2"/>
  <cols>
    <col min="1" max="1" width="1.1640625" customWidth="1"/>
    <col min="2" max="2" width="5.83203125" customWidth="1"/>
    <col min="3" max="3" width="24.83203125" bestFit="1" customWidth="1"/>
    <col min="4" max="4" width="18" style="23" customWidth="1"/>
    <col min="5" max="5" width="15" style="23" bestFit="1" customWidth="1"/>
    <col min="6" max="6" width="2.83203125" customWidth="1"/>
    <col min="7" max="7" width="5.83203125" customWidth="1"/>
    <col min="8" max="8" width="1.1640625" customWidth="1"/>
  </cols>
  <sheetData>
    <row r="1" spans="1:16" x14ac:dyDescent="0.2">
      <c r="A1" s="32"/>
      <c r="B1" s="17"/>
      <c r="C1" s="17"/>
      <c r="D1" s="18"/>
      <c r="E1" s="18"/>
      <c r="F1" s="17"/>
      <c r="G1" s="17"/>
      <c r="H1" s="32"/>
    </row>
    <row r="2" spans="1:16" ht="30" customHeight="1" x14ac:dyDescent="0.2">
      <c r="A2" s="32"/>
      <c r="B2" s="17"/>
      <c r="C2" s="55" t="s">
        <v>71</v>
      </c>
      <c r="D2" s="27"/>
      <c r="E2" s="27"/>
      <c r="F2" s="40"/>
      <c r="G2" s="17"/>
      <c r="H2" s="32"/>
    </row>
    <row r="3" spans="1:16" ht="5" customHeight="1" x14ac:dyDescent="0.2">
      <c r="A3" s="32"/>
      <c r="B3" s="17"/>
      <c r="C3" s="41"/>
      <c r="D3" s="28"/>
      <c r="E3" s="28"/>
      <c r="F3" s="42"/>
      <c r="G3" s="17"/>
      <c r="H3" s="32"/>
    </row>
    <row r="4" spans="1:16" ht="21" x14ac:dyDescent="0.2">
      <c r="A4" s="32"/>
      <c r="B4" s="17"/>
      <c r="C4" s="43" t="str">
        <f>"Choix de recherche : "</f>
        <v xml:space="preserve">Choix de recherche : </v>
      </c>
      <c r="D4" s="25" t="s">
        <v>42</v>
      </c>
      <c r="E4" s="30"/>
      <c r="F4" s="44"/>
      <c r="G4" s="17"/>
      <c r="H4" s="32"/>
    </row>
    <row r="5" spans="1:16" x14ac:dyDescent="0.2">
      <c r="A5" s="32"/>
      <c r="B5" s="17"/>
      <c r="C5" s="45"/>
      <c r="D5" s="26">
        <f>VLOOKUP(D4,C12:D17,2,FALSE)</f>
        <v>4</v>
      </c>
      <c r="E5" s="29"/>
      <c r="F5" s="44"/>
      <c r="G5" s="17"/>
      <c r="H5" s="32"/>
    </row>
    <row r="6" spans="1:16" ht="21" x14ac:dyDescent="0.2">
      <c r="A6" s="32"/>
      <c r="B6" s="17"/>
      <c r="C6" s="43" t="s">
        <v>49</v>
      </c>
      <c r="D6" s="25" t="s">
        <v>48</v>
      </c>
      <c r="E6" s="30"/>
      <c r="F6" s="44"/>
      <c r="G6" s="17"/>
      <c r="H6" s="32"/>
      <c r="P6" s="31"/>
    </row>
    <row r="7" spans="1:16" ht="5" customHeight="1" x14ac:dyDescent="0.2">
      <c r="A7" s="32"/>
      <c r="B7" s="17"/>
      <c r="C7" s="46"/>
      <c r="D7" s="47"/>
      <c r="E7" s="47"/>
      <c r="F7" s="48"/>
      <c r="G7" s="17"/>
      <c r="H7" s="32"/>
    </row>
    <row r="8" spans="1:16" x14ac:dyDescent="0.2">
      <c r="A8" s="32"/>
      <c r="B8" s="17"/>
      <c r="C8" s="17"/>
      <c r="D8" s="18"/>
      <c r="E8" s="18"/>
      <c r="F8" s="17"/>
      <c r="G8" s="17"/>
      <c r="H8" s="32"/>
    </row>
    <row r="9" spans="1:16" x14ac:dyDescent="0.2">
      <c r="A9" s="32"/>
      <c r="B9" s="17"/>
      <c r="C9" s="17"/>
      <c r="D9" s="18"/>
      <c r="E9" s="18"/>
      <c r="F9" s="17"/>
      <c r="G9" s="17"/>
      <c r="H9" s="32"/>
    </row>
    <row r="10" spans="1:16" ht="30" customHeight="1" x14ac:dyDescent="0.2">
      <c r="A10" s="32"/>
      <c r="B10" s="17"/>
      <c r="C10" s="55" t="s">
        <v>72</v>
      </c>
      <c r="D10" s="27"/>
      <c r="E10" s="27"/>
      <c r="F10" s="40"/>
      <c r="G10" s="17"/>
      <c r="H10" s="32"/>
    </row>
    <row r="11" spans="1:16" ht="5" customHeight="1" x14ac:dyDescent="0.2">
      <c r="A11" s="32"/>
      <c r="B11" s="17"/>
      <c r="C11" s="41"/>
      <c r="D11" s="28"/>
      <c r="E11" s="28"/>
      <c r="F11" s="42"/>
      <c r="G11" s="17"/>
      <c r="H11" s="32"/>
    </row>
    <row r="12" spans="1:16" x14ac:dyDescent="0.2">
      <c r="A12" s="32"/>
      <c r="B12" s="17"/>
      <c r="C12" s="49" t="s">
        <v>38</v>
      </c>
      <c r="D12" s="19" t="s">
        <v>39</v>
      </c>
      <c r="E12" s="19" t="s">
        <v>46</v>
      </c>
      <c r="F12" s="42"/>
      <c r="G12" s="17"/>
      <c r="H12" s="32"/>
    </row>
    <row r="13" spans="1:16" x14ac:dyDescent="0.2">
      <c r="A13" s="32"/>
      <c r="B13" s="17"/>
      <c r="C13" s="50" t="s">
        <v>44</v>
      </c>
      <c r="D13" s="24">
        <v>1</v>
      </c>
      <c r="E13" s="20" t="s">
        <v>45</v>
      </c>
      <c r="F13" s="42"/>
      <c r="G13" s="17"/>
      <c r="H13" s="32"/>
    </row>
    <row r="14" spans="1:16" x14ac:dyDescent="0.2">
      <c r="A14" s="32"/>
      <c r="B14" s="17"/>
      <c r="C14" s="50" t="s">
        <v>40</v>
      </c>
      <c r="D14" s="24">
        <v>2</v>
      </c>
      <c r="E14" s="20"/>
      <c r="F14" s="42"/>
      <c r="G14" s="17"/>
      <c r="H14" s="32"/>
    </row>
    <row r="15" spans="1:16" x14ac:dyDescent="0.2">
      <c r="A15" s="32"/>
      <c r="B15" s="17"/>
      <c r="C15" s="50" t="s">
        <v>42</v>
      </c>
      <c r="D15" s="24">
        <v>4</v>
      </c>
      <c r="E15" s="21"/>
      <c r="F15" s="42"/>
      <c r="G15" s="17"/>
      <c r="H15" s="32"/>
    </row>
    <row r="16" spans="1:16" x14ac:dyDescent="0.2">
      <c r="A16" s="32"/>
      <c r="B16" s="17"/>
      <c r="C16" s="50" t="s">
        <v>41</v>
      </c>
      <c r="D16" s="24">
        <v>5</v>
      </c>
      <c r="E16" s="22"/>
      <c r="F16" s="42"/>
      <c r="G16" s="17"/>
      <c r="H16" s="32"/>
    </row>
    <row r="17" spans="1:8" x14ac:dyDescent="0.2">
      <c r="A17" s="32"/>
      <c r="B17" s="17"/>
      <c r="C17" s="50" t="s">
        <v>43</v>
      </c>
      <c r="D17" s="24">
        <v>6</v>
      </c>
      <c r="E17" s="22" t="s">
        <v>50</v>
      </c>
      <c r="F17" s="42"/>
      <c r="G17" s="17"/>
      <c r="H17" s="32"/>
    </row>
    <row r="18" spans="1:8" x14ac:dyDescent="0.2">
      <c r="A18" s="32"/>
      <c r="B18" s="17"/>
      <c r="C18" s="41"/>
      <c r="D18" s="28"/>
      <c r="E18" s="28"/>
      <c r="F18" s="42"/>
      <c r="G18" s="17"/>
      <c r="H18" s="32"/>
    </row>
    <row r="19" spans="1:8" x14ac:dyDescent="0.2">
      <c r="A19" s="32"/>
      <c r="B19" s="17"/>
      <c r="C19" s="51" t="s">
        <v>51</v>
      </c>
      <c r="D19" s="28"/>
      <c r="E19" s="28"/>
      <c r="F19" s="42"/>
      <c r="G19" s="17"/>
      <c r="H19" s="32"/>
    </row>
    <row r="20" spans="1:8" x14ac:dyDescent="0.2">
      <c r="A20" s="32"/>
      <c r="B20" s="17"/>
      <c r="C20" s="50" t="s">
        <v>47</v>
      </c>
      <c r="D20" s="28"/>
      <c r="E20" s="28"/>
      <c r="F20" s="42"/>
      <c r="G20" s="17"/>
      <c r="H20" s="32"/>
    </row>
    <row r="21" spans="1:8" x14ac:dyDescent="0.2">
      <c r="A21" s="32"/>
      <c r="B21" s="17"/>
      <c r="C21" s="52" t="s">
        <v>48</v>
      </c>
      <c r="D21" s="53"/>
      <c r="E21" s="53"/>
      <c r="F21" s="54"/>
      <c r="G21" s="17"/>
      <c r="H21" s="32"/>
    </row>
    <row r="22" spans="1:8" x14ac:dyDescent="0.2">
      <c r="A22" s="32"/>
      <c r="B22" s="17"/>
      <c r="C22" s="17"/>
      <c r="D22" s="18"/>
      <c r="E22" s="18"/>
      <c r="F22" s="17"/>
      <c r="G22" s="17"/>
      <c r="H22" s="32"/>
    </row>
    <row r="23" spans="1:8" x14ac:dyDescent="0.2">
      <c r="A23" s="32"/>
      <c r="B23" s="17"/>
      <c r="C23" s="17"/>
      <c r="D23" s="18"/>
      <c r="E23" s="18"/>
      <c r="F23" s="17"/>
      <c r="G23" s="17"/>
      <c r="H23" s="32"/>
    </row>
    <row r="24" spans="1:8" ht="30" customHeight="1" x14ac:dyDescent="0.2">
      <c r="A24" s="32"/>
      <c r="B24" s="17"/>
      <c r="C24" s="55" t="s">
        <v>73</v>
      </c>
      <c r="D24" s="27"/>
      <c r="E24" s="27"/>
      <c r="F24" s="40"/>
      <c r="G24" s="17"/>
      <c r="H24" s="32"/>
    </row>
    <row r="25" spans="1:8" ht="5" customHeight="1" x14ac:dyDescent="0.2">
      <c r="A25" s="32"/>
      <c r="B25" s="17"/>
      <c r="C25" s="57"/>
      <c r="D25" s="29"/>
      <c r="E25" s="29"/>
      <c r="F25" s="44"/>
      <c r="G25" s="17"/>
      <c r="H25" s="32"/>
    </row>
    <row r="26" spans="1:8" x14ac:dyDescent="0.2">
      <c r="A26" s="32"/>
      <c r="B26" s="17"/>
      <c r="C26" s="43" t="s">
        <v>76</v>
      </c>
      <c r="D26" s="58" t="b">
        <v>1</v>
      </c>
      <c r="E26" s="28"/>
      <c r="F26" s="42"/>
      <c r="G26" s="17"/>
      <c r="H26" s="32"/>
    </row>
    <row r="27" spans="1:8" ht="5" customHeight="1" x14ac:dyDescent="0.2">
      <c r="A27" s="32"/>
      <c r="B27" s="17"/>
      <c r="C27" s="57"/>
      <c r="D27" s="59"/>
      <c r="E27" s="29"/>
      <c r="F27" s="44"/>
      <c r="G27" s="17"/>
      <c r="H27" s="32"/>
    </row>
    <row r="28" spans="1:8" x14ac:dyDescent="0.2">
      <c r="A28" s="32"/>
      <c r="B28" s="17"/>
      <c r="C28" s="43" t="s">
        <v>74</v>
      </c>
      <c r="D28" s="58" t="b">
        <v>1</v>
      </c>
      <c r="E28" s="28"/>
      <c r="F28" s="42"/>
      <c r="G28" s="17"/>
      <c r="H28" s="32"/>
    </row>
    <row r="29" spans="1:8" ht="5" customHeight="1" x14ac:dyDescent="0.2">
      <c r="A29" s="32"/>
      <c r="B29" s="17"/>
      <c r="C29" s="57"/>
      <c r="D29" s="59"/>
      <c r="E29" s="29"/>
      <c r="F29" s="44"/>
      <c r="G29" s="17"/>
      <c r="H29" s="32"/>
    </row>
    <row r="30" spans="1:8" x14ac:dyDescent="0.2">
      <c r="A30" s="32"/>
      <c r="B30" s="17"/>
      <c r="C30" s="56" t="s">
        <v>75</v>
      </c>
      <c r="D30" s="60" t="b">
        <v>1</v>
      </c>
      <c r="E30" s="53"/>
      <c r="F30" s="54"/>
      <c r="G30" s="17"/>
      <c r="H30" s="32"/>
    </row>
    <row r="31" spans="1:8" s="38" customFormat="1" ht="16" customHeight="1" x14ac:dyDescent="0.3">
      <c r="A31" s="37"/>
      <c r="B31" s="39"/>
      <c r="C31" s="39"/>
      <c r="D31" s="35"/>
      <c r="E31" s="35"/>
      <c r="F31" s="34"/>
      <c r="G31" s="36"/>
      <c r="H31" s="37"/>
    </row>
    <row r="32" spans="1:8" ht="6" customHeight="1" x14ac:dyDescent="0.2">
      <c r="A32" s="32"/>
      <c r="B32" s="32"/>
      <c r="C32" s="32"/>
      <c r="D32" s="33"/>
      <c r="E32" s="33"/>
      <c r="F32" s="32"/>
      <c r="G32" s="32"/>
      <c r="H32" s="32"/>
    </row>
  </sheetData>
  <dataValidations count="2">
    <dataValidation type="list" allowBlank="1" showInputMessage="1" showErrorMessage="1" sqref="D4" xr:uid="{F00745AD-3FC8-2F4B-8AFE-D7F58F588326}">
      <formula1>$C$13:$C$17</formula1>
    </dataValidation>
    <dataValidation type="list" showInputMessage="1" showErrorMessage="1" sqref="D6" xr:uid="{95F5C2A1-52C5-AE47-8B63-61409433DEB6}">
      <formula1>$C$20:$C$21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7" r:id="rId3" name="Check Box 37">
              <controlPr defaultSize="0" autoFill="0" autoLine="0" autoPict="0">
                <anchor moveWithCells="1">
                  <from>
                    <xdr:col>2</xdr:col>
                    <xdr:colOff>1574800</xdr:colOff>
                    <xdr:row>24</xdr:row>
                    <xdr:rowOff>25400</xdr:rowOff>
                  </from>
                  <to>
                    <xdr:col>2</xdr:col>
                    <xdr:colOff>1854200</xdr:colOff>
                    <xdr:row>26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" name="Check Box 38">
              <controlPr defaultSize="0" autoFill="0" autoLine="0" autoPict="0">
                <anchor moveWithCells="1">
                  <from>
                    <xdr:col>2</xdr:col>
                    <xdr:colOff>1574800</xdr:colOff>
                    <xdr:row>26</xdr:row>
                    <xdr:rowOff>25400</xdr:rowOff>
                  </from>
                  <to>
                    <xdr:col>2</xdr:col>
                    <xdr:colOff>1854200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5" name="Check Box 39">
              <controlPr defaultSize="0" autoFill="0" autoLine="0" autoPict="0">
                <anchor moveWithCells="1">
                  <from>
                    <xdr:col>2</xdr:col>
                    <xdr:colOff>1574800</xdr:colOff>
                    <xdr:row>28</xdr:row>
                    <xdr:rowOff>25400</xdr:rowOff>
                  </from>
                  <to>
                    <xdr:col>2</xdr:col>
                    <xdr:colOff>1854200</xdr:colOff>
                    <xdr:row>30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</vt:lpstr>
      <vt:lpstr>CRM</vt:lpstr>
      <vt:lpstr>Aide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CARRIE</dc:creator>
  <cp:lastModifiedBy>Emmanuel CARRIE</cp:lastModifiedBy>
  <dcterms:created xsi:type="dcterms:W3CDTF">2025-02-19T15:01:28Z</dcterms:created>
  <dcterms:modified xsi:type="dcterms:W3CDTF">2025-03-30T14:52:02Z</dcterms:modified>
</cp:coreProperties>
</file>